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yed\Desktop\DA ASSIGNMENTS\Portfolio 2\"/>
    </mc:Choice>
  </mc:AlternateContent>
  <xr:revisionPtr revIDLastSave="0" documentId="13_ncr:1_{417EAE5B-26E6-4A1D-B9CD-AC39B502425B}" xr6:coauthVersionLast="47" xr6:coauthVersionMax="47" xr10:uidLastSave="{00000000-0000-0000-0000-000000000000}"/>
  <bookViews>
    <workbookView xWindow="-120" yWindow="-120" windowWidth="20730" windowHeight="11160" activeTab="2" xr2:uid="{82D2BB52-7A9F-4B3C-8ACE-A27394B2655A}"/>
  </bookViews>
  <sheets>
    <sheet name="Sheet2" sheetId="2" r:id="rId1"/>
    <sheet name="Sheet3" sheetId="3" r:id="rId2"/>
    <sheet name="Sheet1" sheetId="1" r:id="rId3"/>
  </sheets>
  <calcPr calcId="191029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<sst xmlns="http://schemas.openxmlformats.org/spreadsheetml/2006/main" count="218" uniqueCount="50">
  <si>
    <t>Churn</t>
  </si>
  <si>
    <t>total_customers</t>
  </si>
  <si>
    <t>percentage</t>
  </si>
  <si>
    <t>No</t>
  </si>
  <si>
    <t>Yes</t>
  </si>
  <si>
    <t>Churn rate overall</t>
  </si>
  <si>
    <t>Contract</t>
  </si>
  <si>
    <t>InternetService</t>
  </si>
  <si>
    <t>PaymentMethod</t>
  </si>
  <si>
    <t>churned_customers</t>
  </si>
  <si>
    <t>churn_rate</t>
  </si>
  <si>
    <t>Month-to-month</t>
  </si>
  <si>
    <t>Fiber optic</t>
  </si>
  <si>
    <t>Electronic check</t>
  </si>
  <si>
    <t>Mailed check</t>
  </si>
  <si>
    <t>Bank transfer (automatic)</t>
  </si>
  <si>
    <t>Credit card (automatic)</t>
  </si>
  <si>
    <t>DSL</t>
  </si>
  <si>
    <t>One year</t>
  </si>
  <si>
    <t>Two year</t>
  </si>
  <si>
    <t>Customer Segmentation &amp; Churn Rate by Group</t>
  </si>
  <si>
    <t>lost_monthly_revenue</t>
  </si>
  <si>
    <t>avg_monthly_charge</t>
  </si>
  <si>
    <t>Financial Impact of Churn</t>
  </si>
  <si>
    <t>Service Feature Correlation with Churn on all variables</t>
  </si>
  <si>
    <t>OnlineSecurity</t>
  </si>
  <si>
    <t>No internet service</t>
  </si>
  <si>
    <t>OnlineBackup</t>
  </si>
  <si>
    <t>DeviceProtection</t>
  </si>
  <si>
    <t>TechSupport</t>
  </si>
  <si>
    <t>StreamingTV</t>
  </si>
  <si>
    <t>StreamingMovies</t>
  </si>
  <si>
    <t>Tenure &amp; Churn Dynamics</t>
  </si>
  <si>
    <t>0-1 year</t>
  </si>
  <si>
    <t>1-2 years</t>
  </si>
  <si>
    <t>2-4 years</t>
  </si>
  <si>
    <t>4+ years</t>
  </si>
  <si>
    <t>complaint_category</t>
  </si>
  <si>
    <t>total_feedbacks</t>
  </si>
  <si>
    <t>churned_feedbacks</t>
  </si>
  <si>
    <t>Other</t>
  </si>
  <si>
    <t>Slow Service</t>
  </si>
  <si>
    <t>Billing Problems</t>
  </si>
  <si>
    <t>High Cost</t>
  </si>
  <si>
    <t>Poor Support</t>
  </si>
  <si>
    <t>Text Feedback &amp; Sentiment Clues</t>
  </si>
  <si>
    <t>Sum of churned_customers</t>
  </si>
  <si>
    <t>Sum of avg_monthly_charge</t>
  </si>
  <si>
    <t>Churned Customers</t>
  </si>
  <si>
    <t>Tenure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</si>
</sst>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[Overall Analysis.xlsx]Sheet2!PivotTable17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</a:t>
            </a:r>
            <a:r>
              <a:rPr lang="en-US"/>
              <a:t>customers by PaymentMethod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4"/>
                <c:pt idx="0">
                  <c:v>Credit card (automatic)</c:v>
                </c:pt>
                <c:pt idx="1">
                  <c:v>Bank transfer (automatic)</c:v>
                </c:pt>
                <c:pt idx="2">
                  <c:v>Mailed check</c:v>
                </c:pt>
                <c:pt idx="3">
                  <c:v>Electronic check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4"/>
                <c:pt idx="0">
                  <c:v>232</c:v>
                </c:pt>
                <c:pt idx="1">
                  <c:v>258</c:v>
                </c:pt>
                <c:pt idx="2">
                  <c:v>308</c:v>
                </c:pt>
                <c:pt idx="3">
                  <c:v>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83-461A-8E5C-56EB4E85A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3770576"/>
        <c:axId val="2103772016"/>
      </c:barChart>
      <c:catAx>
        <c:axId val="2103770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72016"/>
        <c:crosses val="autoZero"/>
        <c:auto val="1"/>
        <c:lblAlgn val="ctr"/>
        <c:lblOffset val="100"/>
        <c:noMultiLvlLbl val="0"/>
      </c:catAx>
      <c:valAx>
        <c:axId val="210377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70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[Overall Analysis.xlsx]Sheet3!PivotTable32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</a:t>
            </a:r>
            <a:r>
              <a:rPr lang="en-US"/>
              <a:t>monthly</a:t>
            </a:r>
            <a:r>
              <a:rPr lang="en-US" baseline="0"/>
              <a:t> </a:t>
            </a:r>
            <a:r>
              <a:rPr lang="en-US"/>
              <a:t>charge by InternetService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Sheet3!$A$4:$A$6</c:f>
              <c:strCache>
                <c:ptCount val="3"/>
                <c:pt idx="0">
                  <c:v>Fiber optic</c:v>
                </c:pt>
                <c:pt idx="1">
                  <c:v>DSL</c:v>
                </c:pt>
                <c:pt idx="2">
                  <c:v>No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292.83</c:v>
                </c:pt>
                <c:pt idx="1">
                  <c:v>177.08999999999997</c:v>
                </c:pt>
                <c:pt idx="2">
                  <c:v>64.02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0-43A4-A43C-E28D254F18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03753296"/>
        <c:axId val="2103763856"/>
      </c:barChart>
      <c:catAx>
        <c:axId val="210375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63856"/>
        <c:crosses val="autoZero"/>
        <c:auto val="1"/>
        <c:lblAlgn val="ctr"/>
        <c:lblOffset val="100"/>
        <c:noMultiLvlLbl val="0"/>
      </c:catAx>
      <c:valAx>
        <c:axId val="210376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75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backup vs Churn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Sheet1!$D$80</c:f>
              <c:strCache>
                <c:ptCount val="1"/>
                <c:pt idx="0">
                  <c:v>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C2-4268-9736-C8B6410ABA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C2-4268-9736-C8B6410ABA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C2-4268-9736-C8B6410ABA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Sheet1!$A$81:$A$83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Sheet1!$D$81:$D$83</c:f>
              <c:numCache>
                <c:formatCode>General</c:formatCode>
                <c:ptCount val="3"/>
                <c:pt idx="0">
                  <c:v>39.94</c:v>
                </c:pt>
                <c:pt idx="1">
                  <c:v>21.57</c:v>
                </c:pt>
                <c:pt idx="2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A-4E71-A653-ED3157E677D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security vs 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Sheet1!$D$69</c:f>
              <c:strCache>
                <c:ptCount val="1"/>
                <c:pt idx="0">
                  <c:v>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E1-4FF8-AD3C-1DB86D3871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E1-4FF8-AD3C-1DB86D3871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E1-4FF8-AD3C-1DB86D3871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Sheet1!$A$70:$A$72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Sheet1!$D$70:$D$72</c:f>
              <c:numCache>
                <c:formatCode>General</c:formatCode>
                <c:ptCount val="3"/>
                <c:pt idx="0">
                  <c:v>41.78</c:v>
                </c:pt>
                <c:pt idx="1">
                  <c:v>14.64</c:v>
                </c:pt>
                <c:pt idx="2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4-42C8-A109-296A922BE84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Device protection</a:t>
            </a:r>
            <a:r>
              <a:rPr lang="en-US" baseline="0"/>
              <a:t> vs </a:t>
            </a:r>
            <a:r>
              <a:rPr lang="en-US"/>
              <a:t>churn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Sheet1!$D$91</c:f>
              <c:strCache>
                <c:ptCount val="1"/>
                <c:pt idx="0">
                  <c:v>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6A-4ED8-AC05-C6200FDEDCA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6A-4ED8-AC05-C6200FDEDCA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6A-4ED8-AC05-C6200FDEDC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Sheet1!$A$92:$A$94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Sheet1!$D$92:$D$94</c:f>
              <c:numCache>
                <c:formatCode>General</c:formatCode>
                <c:ptCount val="3"/>
                <c:pt idx="0">
                  <c:v>39.14</c:v>
                </c:pt>
                <c:pt idx="1">
                  <c:v>22.54</c:v>
                </c:pt>
                <c:pt idx="2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B-4A07-9946-BBC7BEBC162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Techsupport vs Churn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Sheet1!$D$100</c:f>
              <c:strCache>
                <c:ptCount val="1"/>
                <c:pt idx="0">
                  <c:v>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3E-4EDA-98C0-9412308F5C7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3E-4EDA-98C0-9412308F5C7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3E-4EDA-98C0-9412308F5C7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Sheet1!$A$101:$A$103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Sheet1!$D$101:$D$103</c:f>
              <c:numCache>
                <c:formatCode>General</c:formatCode>
                <c:ptCount val="3"/>
                <c:pt idx="0">
                  <c:v>41.65</c:v>
                </c:pt>
                <c:pt idx="1">
                  <c:v>15.2</c:v>
                </c:pt>
                <c:pt idx="2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0-4F9D-B3AD-4FA939DD963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 tv vs churn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Sheet1!$D$111</c:f>
              <c:strCache>
                <c:ptCount val="1"/>
                <c:pt idx="0">
                  <c:v>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84-45DD-9134-BDEEA5E38A3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84-45DD-9134-BDEEA5E38A3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B84-45DD-9134-BDEEA5E38A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Sheet1!$A$112:$A$114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Sheet1!$D$112:$D$114</c:f>
              <c:numCache>
                <c:formatCode>General</c:formatCode>
                <c:ptCount val="3"/>
                <c:pt idx="0">
                  <c:v>33.54</c:v>
                </c:pt>
                <c:pt idx="1">
                  <c:v>30.11</c:v>
                </c:pt>
                <c:pt idx="2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2-4101-9BCA-2A91F98B19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Streaming movies vs churn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Sheet1!$D$123</c:f>
              <c:strCache>
                <c:ptCount val="1"/>
                <c:pt idx="0">
                  <c:v>churn_rate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04-4803-A759-B323BE14A2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04-4803-A759-B323BE14A2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04-4803-A759-B323BE14A2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Sheet1!$A$124:$A$126</c:f>
              <c:strCache>
                <c:ptCount val="3"/>
                <c:pt idx="0">
                  <c:v>No</c:v>
                </c:pt>
                <c:pt idx="1">
                  <c:v>Yes</c:v>
                </c:pt>
                <c:pt idx="2">
                  <c:v>No internet service</c:v>
                </c:pt>
              </c:strCache>
            </c:strRef>
          </c:cat>
          <c:val>
            <c:numRef>
              <c:f>Sheet1!$D$124:$D$126</c:f>
              <c:numCache>
                <c:formatCode>General</c:formatCode>
                <c:ptCount val="3"/>
                <c:pt idx="0">
                  <c:v>33.729999999999997</c:v>
                </c:pt>
                <c:pt idx="1">
                  <c:v>29.95</c:v>
                </c:pt>
                <c:pt idx="2">
                  <c:v>7.43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B-4CCF-8743-5E73606FE5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vs Churn Dynamics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Sheet1!$C$136</c:f>
              <c:strCache>
                <c:ptCount val="1"/>
                <c:pt idx="0">
                  <c:v>Churned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Sheet1!$A$137:$A$140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Sheet1!$C$137:$C$140</c:f>
              <c:numCache>
                <c:formatCode>General</c:formatCode>
                <c:ptCount val="4"/>
                <c:pt idx="0">
                  <c:v>1037</c:v>
                </c:pt>
                <c:pt idx="1">
                  <c:v>294</c:v>
                </c:pt>
                <c:pt idx="2">
                  <c:v>325</c:v>
                </c:pt>
                <c:pt idx="3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A-4A94-B629-867A53C57F7D}"/>
            </c:ext>
          </c:extLst>
        </c:ser>
        <c:ser>
          <c:idx val="1"/>
          <c:order val="1"/>
          <c:tx>
            <c:strRef>
              <c:f>Sheet1!$D$136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Sheet1!$A$137:$A$140</c:f>
              <c:strCache>
                <c:ptCount val="4"/>
                <c:pt idx="0">
                  <c:v>0-1 year</c:v>
                </c:pt>
                <c:pt idx="1">
                  <c:v>1-2 years</c:v>
                </c:pt>
                <c:pt idx="2">
                  <c:v>2-4 years</c:v>
                </c:pt>
                <c:pt idx="3">
                  <c:v>4+ years</c:v>
                </c:pt>
              </c:strCache>
            </c:strRef>
          </c:cat>
          <c:val>
            <c:numRef>
              <c:f>Sheet1!$D$137:$D$140</c:f>
              <c:numCache>
                <c:formatCode>General</c:formatCode>
                <c:ptCount val="4"/>
                <c:pt idx="0">
                  <c:v>47.68</c:v>
                </c:pt>
                <c:pt idx="1">
                  <c:v>28.71</c:v>
                </c:pt>
                <c:pt idx="2">
                  <c:v>20.39</c:v>
                </c:pt>
                <c:pt idx="3">
                  <c:v>9.51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A-4A94-B629-867A53C57F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5734079"/>
        <c:axId val="418812015"/>
      </c:barChart>
      <c:catAx>
        <c:axId val="415734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812015"/>
        <c:crosses val="autoZero"/>
        <c:auto val="1"/>
        <c:lblAlgn val="ctr"/>
        <c:lblOffset val="100"/>
        <c:noMultiLvlLbl val="0"/>
      </c:catAx>
      <c:valAx>
        <c:axId val="41881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734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Feedback of Churn</a:t>
            </a:r>
            <a:r>
              <a:rPr lang="en-US" baseline="0"/>
              <a:t> </a:t>
            </a:r>
            <a:r>
              <a:rPr lang="en-US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Sheet1!$D$155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Sheet1!$A$156:$A$160</c:f>
              <c:strCache>
                <c:ptCount val="5"/>
                <c:pt idx="0">
                  <c:v>Billing Problems</c:v>
                </c:pt>
                <c:pt idx="1">
                  <c:v>Other</c:v>
                </c:pt>
                <c:pt idx="2">
                  <c:v>Slow Service</c:v>
                </c:pt>
                <c:pt idx="3">
                  <c:v>Poor Support</c:v>
                </c:pt>
                <c:pt idx="4">
                  <c:v>High Cost</c:v>
                </c:pt>
              </c:strCache>
            </c:strRef>
          </c:cat>
          <c:val>
            <c:numRef>
              <c:f>Sheet1!$D$156:$D$160</c:f>
              <c:numCache>
                <c:formatCode>General</c:formatCode>
                <c:ptCount val="5"/>
                <c:pt idx="0">
                  <c:v>14.63</c:v>
                </c:pt>
                <c:pt idx="1">
                  <c:v>22.42</c:v>
                </c:pt>
                <c:pt idx="2">
                  <c:v>80.45</c:v>
                </c:pt>
                <c:pt idx="3">
                  <c:v>89.47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D-48EB-8237-677F4D6C7A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10715887"/>
        <c:axId val="410694287"/>
      </c:barChart>
      <c:catAx>
        <c:axId val="410715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694287"/>
        <c:crosses val="autoZero"/>
        <c:auto val="1"/>
        <c:lblAlgn val="ctr"/>
        <c:lblOffset val="100"/>
        <c:noMultiLvlLbl val="0"/>
      </c:catAx>
      <c:valAx>
        <c:axId val="410694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1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Sheet1!$C$2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863-43E5-BCBE-594FC4E2DD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863-43E5-BCBE-594FC4E2DD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Sheet1!$C$3:$C$4</c:f>
              <c:numCache>
                <c:formatCode>General</c:formatCode>
                <c:ptCount val="2"/>
                <c:pt idx="0">
                  <c:v>73.42</c:v>
                </c:pt>
                <c:pt idx="1">
                  <c:v>26.58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3-4AEE-AA65-DEADC3166C5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4761</xdr:rowOff>
    </xdr:from>
    <xdr:to>
      <xdr:col>11</xdr:col>
      <xdr:colOff>123825</xdr:colOff>
      <xdr:row>16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C25421-4BEC-FA5A-45A7-62BC95DC8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185737</xdr:rowOff>
    </xdr:from>
    <xdr:to>
      <xdr:col>10</xdr:col>
      <xdr:colOff>285750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AFC51E-D617-DC48-25C8-82C610BAF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265043</xdr:colOff>
      <xdr:row>78</xdr:row>
      <xdr:rowOff>165652</xdr:rowOff>
    </xdr:from>
    <xdr:to>
      <xdr:col>8</xdr:col>
      <xdr:colOff>356152</xdr:colOff>
      <xdr:row>87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EA2E6D-52CA-C0C6-DADA-0219AEE26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248478</xdr:colOff>
      <xdr:row>67</xdr:row>
      <xdr:rowOff>168965</xdr:rowOff>
    </xdr:from>
    <xdr:to>
      <xdr:col>8</xdr:col>
      <xdr:colOff>323022</xdr:colOff>
      <xdr:row>76</xdr:row>
      <xdr:rowOff>16565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241FFD-1539-7C75-79EA-41BD96849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265043</xdr:colOff>
      <xdr:row>89</xdr:row>
      <xdr:rowOff>16566</xdr:rowOff>
    </xdr:from>
    <xdr:to>
      <xdr:col>8</xdr:col>
      <xdr:colOff>356153</xdr:colOff>
      <xdr:row>97</xdr:row>
      <xdr:rowOff>66261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CC0FAA-3835-708B-FC33-8ADE63760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281609</xdr:colOff>
      <xdr:row>98</xdr:row>
      <xdr:rowOff>190499</xdr:rowOff>
    </xdr:from>
    <xdr:to>
      <xdr:col>8</xdr:col>
      <xdr:colOff>347870</xdr:colOff>
      <xdr:row>107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83C4F3-4435-D910-9A32-4BCBD8B4A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298175</xdr:colOff>
      <xdr:row>110</xdr:row>
      <xdr:rowOff>3313</xdr:rowOff>
    </xdr:from>
    <xdr:to>
      <xdr:col>8</xdr:col>
      <xdr:colOff>356153</xdr:colOff>
      <xdr:row>118</xdr:row>
      <xdr:rowOff>173934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323F62-DB32-F92F-22A7-EDF480B57E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331304</xdr:colOff>
      <xdr:row>121</xdr:row>
      <xdr:rowOff>8281</xdr:rowOff>
    </xdr:from>
    <xdr:to>
      <xdr:col>8</xdr:col>
      <xdr:colOff>381000</xdr:colOff>
      <xdr:row>129</xdr:row>
      <xdr:rowOff>74542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06A9131-C55C-6903-5D76-4B67A9053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290512</xdr:colOff>
      <xdr:row>134</xdr:row>
      <xdr:rowOff>19049</xdr:rowOff>
    </xdr:from>
    <xdr:to>
      <xdr:col>10</xdr:col>
      <xdr:colOff>471487</xdr:colOff>
      <xdr:row>150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9F5617-1166-9B9A-5B7A-E89993BA8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328612</xdr:colOff>
      <xdr:row>153</xdr:row>
      <xdr:rowOff>176212</xdr:rowOff>
    </xdr:from>
    <xdr:to>
      <xdr:col>10</xdr:col>
      <xdr:colOff>509587</xdr:colOff>
      <xdr:row>167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DF33E17-97BC-18CC-538E-A3E3D2490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666750</xdr:colOff>
      <xdr:row>0</xdr:row>
      <xdr:rowOff>1</xdr:rowOff>
    </xdr:from>
    <xdr:to>
      <xdr:col>9</xdr:col>
      <xdr:colOff>66675</xdr:colOff>
      <xdr:row>8</xdr:row>
      <xdr:rowOff>76201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424BF4-15CA-15E1-9365-C1C6939FA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" refreshedDate="45984.50275162037" createdVersion="8" refreshedVersion="8" minRefreshableVersion="3" recordCount="36" xr:uid="{4101CB8B-D247-43B9-9FC5-B2C75EF25FA4}">
  <cacheSource type="worksheet">
    <worksheetSource ref="A15:F51" sheet="Sheet1"/>
  </cacheSource>
  <cacheFields count="6">
    <cacheField name="Contract" numFmtId="0">
      <sharedItems/>
    </cacheField>
    <cacheField name="InternetService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total_customers" numFmtId="0">
      <sharedItems containsSemiMixedTypes="0" containsString="0" containsNumber="1" containsInteger="1" minValue="18" maxValue="1307"/>
    </cacheField>
    <cacheField name="churned_customers" numFmtId="0">
      <sharedItems containsSemiMixedTypes="0" containsString="0" containsNumber="1" containsInteger="1" minValue="0" maxValue="789"/>
    </cacheField>
    <cacheField name="churn_rate" numFmtId="0">
      <sharedItems containsSemiMixedTypes="0" containsString="0" containsNumber="1" minValue="0" maxValue="60.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" refreshedDate="45984.503713194441" createdVersion="8" refreshedVersion="8" minRefreshableVersion="3" recordCount="9" xr:uid="{7C67C8CB-579C-4504-951A-9A429999D968}">
  <cacheSource type="worksheet">
    <worksheetSource ref="A54:E63" sheet="Sheet1"/>
  </cacheSource>
  <cacheFields count="5">
    <cacheField name="Contract" numFmtId="0">
      <sharedItems/>
    </cacheField>
    <cacheField name="InternetService" numFmtId="0">
      <sharedItems count="3">
        <s v="Fiber optic"/>
        <s v="DSL"/>
        <s v="No"/>
      </sharedItems>
    </cacheField>
    <cacheField name="lost_monthly_revenue" numFmtId="0">
      <sharedItems containsSemiMixedTypes="0" containsString="0" containsNumber="1" minValue="113.5" maxValue="100482"/>
    </cacheField>
    <cacheField name="churned_customers" numFmtId="0">
      <sharedItems containsSemiMixedTypes="0" containsString="0" containsNumber="1" containsInteger="1" minValue="5" maxValue="1162"/>
    </cacheField>
    <cacheField name="avg_monthly_charge" numFmtId="0">
      <sharedItems containsSemiMixedTypes="0" containsString="0" containsNumber="1" minValue="20.18" maxValue="104.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Month-to-month"/>
    <s v="Fiber optic"/>
    <x v="0"/>
    <n v="1307"/>
    <n v="789"/>
    <n v="60.37"/>
  </r>
  <r>
    <s v="Month-to-month"/>
    <s v="Fiber optic"/>
    <x v="1"/>
    <n v="201"/>
    <n v="102"/>
    <n v="50.75"/>
  </r>
  <r>
    <s v="Month-to-month"/>
    <s v="Fiber optic"/>
    <x v="2"/>
    <n v="327"/>
    <n v="149"/>
    <n v="45.57"/>
  </r>
  <r>
    <s v="Month-to-month"/>
    <s v="Fiber optic"/>
    <x v="3"/>
    <n v="293"/>
    <n v="122"/>
    <n v="41.64"/>
  </r>
  <r>
    <s v="Month-to-month"/>
    <s v="DSL"/>
    <x v="0"/>
    <n v="474"/>
    <n v="192"/>
    <n v="40.51"/>
  </r>
  <r>
    <s v="Month-to-month"/>
    <s v="DSL"/>
    <x v="1"/>
    <n v="367"/>
    <n v="113"/>
    <n v="30.79"/>
  </r>
  <r>
    <s v="Month-to-month"/>
    <s v="DSL"/>
    <x v="3"/>
    <n v="185"/>
    <n v="50"/>
    <n v="27.03"/>
  </r>
  <r>
    <s v="One year"/>
    <s v="Fiber optic"/>
    <x v="0"/>
    <n v="196"/>
    <n v="51"/>
    <n v="26.02"/>
  </r>
  <r>
    <s v="Month-to-month"/>
    <s v="No"/>
    <x v="1"/>
    <n v="325"/>
    <n v="67"/>
    <n v="20.62"/>
  </r>
  <r>
    <s v="Month-to-month"/>
    <s v="No"/>
    <x v="2"/>
    <n v="65"/>
    <n v="13"/>
    <n v="20"/>
  </r>
  <r>
    <s v="Month-to-month"/>
    <s v="DSL"/>
    <x v="2"/>
    <n v="197"/>
    <n v="39"/>
    <n v="19.8"/>
  </r>
  <r>
    <s v="One year"/>
    <s v="Fiber optic"/>
    <x v="1"/>
    <n v="36"/>
    <n v="7"/>
    <n v="19.440000000000001"/>
  </r>
  <r>
    <s v="Month-to-month"/>
    <s v="No"/>
    <x v="0"/>
    <n v="69"/>
    <n v="13"/>
    <n v="18.84"/>
  </r>
  <r>
    <s v="One year"/>
    <s v="Fiber optic"/>
    <x v="3"/>
    <n v="150"/>
    <n v="23"/>
    <n v="15.33"/>
  </r>
  <r>
    <s v="One year"/>
    <s v="Fiber optic"/>
    <x v="2"/>
    <n v="157"/>
    <n v="23"/>
    <n v="14.65"/>
  </r>
  <r>
    <s v="One year"/>
    <s v="DSL"/>
    <x v="1"/>
    <n v="137"/>
    <n v="14"/>
    <n v="10.220000000000001"/>
  </r>
  <r>
    <s v="One year"/>
    <s v="DSL"/>
    <x v="3"/>
    <n v="172"/>
    <n v="17"/>
    <n v="9.8800000000000008"/>
  </r>
  <r>
    <s v="Two year"/>
    <s v="Fiber optic"/>
    <x v="0"/>
    <n v="92"/>
    <n v="9"/>
    <n v="9.7799999999999994"/>
  </r>
  <r>
    <s v="One year"/>
    <s v="DSL"/>
    <x v="0"/>
    <n v="116"/>
    <n v="11"/>
    <n v="9.48"/>
  </r>
  <r>
    <s v="Two year"/>
    <s v="Fiber optic"/>
    <x v="2"/>
    <n v="162"/>
    <n v="15"/>
    <n v="9.26"/>
  </r>
  <r>
    <s v="Month-to-month"/>
    <s v="No"/>
    <x v="3"/>
    <n v="65"/>
    <n v="6"/>
    <n v="9.23"/>
  </r>
  <r>
    <s v="One year"/>
    <s v="DSL"/>
    <x v="2"/>
    <n v="145"/>
    <n v="11"/>
    <n v="7.59"/>
  </r>
  <r>
    <s v="Two year"/>
    <s v="DSL"/>
    <x v="0"/>
    <n v="58"/>
    <n v="4"/>
    <n v="6.9"/>
  </r>
  <r>
    <s v="One year"/>
    <s v="No"/>
    <x v="0"/>
    <n v="35"/>
    <n v="2"/>
    <n v="5.71"/>
  </r>
  <r>
    <s v="Two year"/>
    <s v="Fiber optic"/>
    <x v="1"/>
    <n v="21"/>
    <n v="1"/>
    <n v="4.76"/>
  </r>
  <r>
    <s v="One year"/>
    <s v="No"/>
    <x v="2"/>
    <n v="89"/>
    <n v="4"/>
    <n v="4.49"/>
  </r>
  <r>
    <s v="Two year"/>
    <s v="Fiber optic"/>
    <x v="3"/>
    <n v="154"/>
    <n v="6"/>
    <n v="3.9"/>
  </r>
  <r>
    <s v="Two year"/>
    <s v="DSL"/>
    <x v="3"/>
    <n v="236"/>
    <n v="5"/>
    <n v="2.12"/>
  </r>
  <r>
    <s v="Two year"/>
    <s v="DSL"/>
    <x v="2"/>
    <n v="222"/>
    <n v="3"/>
    <n v="1.35"/>
  </r>
  <r>
    <s v="One year"/>
    <s v="No"/>
    <x v="3"/>
    <n v="76"/>
    <n v="1"/>
    <n v="1.32"/>
  </r>
  <r>
    <s v="One year"/>
    <s v="No"/>
    <x v="1"/>
    <n v="163"/>
    <n v="2"/>
    <n v="1.23"/>
  </r>
  <r>
    <s v="Two year"/>
    <s v="No"/>
    <x v="3"/>
    <n v="190"/>
    <n v="2"/>
    <n v="1.05"/>
  </r>
  <r>
    <s v="Two year"/>
    <s v="No"/>
    <x v="1"/>
    <n v="247"/>
    <n v="2"/>
    <n v="0.81"/>
  </r>
  <r>
    <s v="Two year"/>
    <s v="No"/>
    <x v="2"/>
    <n v="178"/>
    <n v="1"/>
    <n v="0.56000000000000005"/>
  </r>
  <r>
    <s v="Two year"/>
    <s v="DSL"/>
    <x v="1"/>
    <n v="107"/>
    <n v="0"/>
    <n v="0"/>
  </r>
  <r>
    <s v="Two year"/>
    <s v="No"/>
    <x v="0"/>
    <n v="18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Month-to-month"/>
    <x v="0"/>
    <n v="100482"/>
    <n v="1162"/>
    <n v="86.47"/>
  </r>
  <r>
    <s v="Month-to-month"/>
    <x v="1"/>
    <n v="18367.25"/>
    <n v="394"/>
    <n v="46.62"/>
  </r>
  <r>
    <s v="One year"/>
    <x v="0"/>
    <n v="10571.95"/>
    <n v="104"/>
    <n v="101.65"/>
  </r>
  <r>
    <s v="One year"/>
    <x v="1"/>
    <n v="3356.25"/>
    <n v="53"/>
    <n v="63.33"/>
  </r>
  <r>
    <s v="Two year"/>
    <x v="0"/>
    <n v="3246.1"/>
    <n v="31"/>
    <n v="104.71"/>
  </r>
  <r>
    <s v="Month-to-month"/>
    <x v="2"/>
    <n v="1997.85"/>
    <n v="99"/>
    <n v="20.18"/>
  </r>
  <r>
    <s v="Two year"/>
    <x v="1"/>
    <n v="805.7"/>
    <n v="12"/>
    <n v="67.14"/>
  </r>
  <r>
    <s v="One year"/>
    <x v="2"/>
    <n v="190.25"/>
    <n v="9"/>
    <n v="21.14"/>
  </r>
  <r>
    <s v="Two year"/>
    <x v="2"/>
    <n v="113.5"/>
    <n v="5"/>
    <n v="22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71198-C4F6-4A29-9D7E-25A01BB7EDA4}" name="PivotTable17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2">
  <location ref="A3:B7" firstHeaderRow="1" firstDataRow="1" firstDataCol="1"/>
  <pivotFields count="6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4">
        <item x="2"/>
        <item x="3"/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4">
    <i>
      <x v="1"/>
    </i>
    <i>
      <x/>
    </i>
    <i>
      <x v="3"/>
    </i>
    <i>
      <x v="2"/>
    </i>
  </rowItems>
  <colItems count="1">
    <i/>
  </colItems>
  <dataFields count="1">
    <dataField name="Sum of churned_customer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40E4A8-47AD-47A4-B2A5-A50FC04037DD}" name="PivotTable3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6">
  <location ref="A3:B6" firstHeaderRow="1" firstDataRow="1" firstDataCol="1"/>
  <pivotFields count="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3">
        <item x="1"/>
        <item x="0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1"/>
  </rowFields>
  <rowItems count="3">
    <i>
      <x v="1"/>
    </i>
    <i>
      <x/>
    </i>
    <i>
      <x v="2"/>
    </i>
  </rowItems>
  <colItems count="1">
    <i/>
  </colItems>
  <dataFields count="1">
    <dataField name="Sum of avg_monthly_charge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6841-46F1-4F17-9A75-C8886F5EFC6F}">
  <dimension ref="A3:B7"/>
  <sheetViews>
    <sheetView workbookViewId="0">
      <selection activeCell="M11" sqref="M11"/>
    </sheetView>
  </sheetViews>
  <sheetFormatPr defaultRowHeight="15" x14ac:dyDescent="0.25"/>
  <cols>
    <col min="1" max="1" width="23.85546875" bestFit="1" customWidth="1"/>
    <col min="2" max="2" width="25.5703125" bestFit="1" customWidth="1"/>
  </cols>
  <sheetData>
    <row r="3" spans="1:2" x14ac:dyDescent="0.25">
      <c r="A3" s="3" t="s">
        <v>8</v>
      </c>
      <c r="B3" t="s">
        <v>46</v>
      </c>
    </row>
    <row r="4" spans="1:2" x14ac:dyDescent="0.25">
      <c r="A4" t="s">
        <v>16</v>
      </c>
      <c r="B4">
        <v>232</v>
      </c>
    </row>
    <row r="5" spans="1:2" x14ac:dyDescent="0.25">
      <c r="A5" t="s">
        <v>15</v>
      </c>
      <c r="B5">
        <v>258</v>
      </c>
    </row>
    <row r="6" spans="1:2" x14ac:dyDescent="0.25">
      <c r="A6" t="s">
        <v>14</v>
      </c>
      <c r="B6">
        <v>308</v>
      </c>
    </row>
    <row r="7" spans="1:2" x14ac:dyDescent="0.25">
      <c r="A7" t="s">
        <v>13</v>
      </c>
      <c r="B7">
        <v>1071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0832-BCA3-404F-BE98-251199D2F290}">
  <dimension ref="A3:B6"/>
  <sheetViews>
    <sheetView workbookViewId="0">
      <selection activeCell="B13" sqref="B13"/>
    </sheetView>
  </sheetViews>
  <sheetFormatPr defaultRowHeight="15" x14ac:dyDescent="0.25"/>
  <cols>
    <col min="1" max="1" width="17.140625" bestFit="1" customWidth="1"/>
    <col min="2" max="2" width="26.42578125" bestFit="1" customWidth="1"/>
  </cols>
  <sheetData>
    <row r="3" spans="1:2" x14ac:dyDescent="0.25">
      <c r="A3" s="3" t="s">
        <v>7</v>
      </c>
      <c r="B3" t="s">
        <v>47</v>
      </c>
    </row>
    <row r="4" spans="1:2" x14ac:dyDescent="0.25">
      <c r="A4" t="s">
        <v>12</v>
      </c>
      <c r="B4">
        <v>292.83</v>
      </c>
    </row>
    <row r="5" spans="1:2" x14ac:dyDescent="0.25">
      <c r="A5" t="s">
        <v>17</v>
      </c>
      <c r="B5">
        <v>177.08999999999997</v>
      </c>
    </row>
    <row r="6" spans="1:2" x14ac:dyDescent="0.25">
      <c r="A6" t="s">
        <v>3</v>
      </c>
      <c r="B6">
        <v>64.02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0FFF-F6CA-4BEB-B11A-AE613A348535}">
  <dimension ref="A1:F160"/>
  <sheetViews>
    <sheetView tabSelected="1" topLeftCell="A55" zoomScaleNormal="100" workbookViewId="0">
      <selection activeCell="J69" sqref="J69"/>
    </sheetView>
  </sheetViews>
  <sheetFormatPr defaultRowHeight="15" x14ac:dyDescent="0.25"/>
  <cols>
    <col min="1" max="1" width="17" bestFit="1" customWidth="1"/>
    <col min="2" max="2" width="15.42578125" bestFit="1" customWidth="1"/>
    <col min="3" max="3" width="23.85546875" bestFit="1" customWidth="1"/>
    <col min="4" max="4" width="15.42578125" bestFit="1" customWidth="1"/>
    <col min="5" max="5" width="18.7109375" bestFit="1" customWidth="1"/>
    <col min="6" max="6" width="10.5703125" bestFit="1" customWidth="1"/>
  </cols>
  <sheetData>
    <row r="1" spans="1:6" x14ac:dyDescent="0.25">
      <c r="A1" s="1" t="s">
        <v>5</v>
      </c>
    </row>
    <row r="2" spans="1:6" x14ac:dyDescent="0.25">
      <c r="A2" t="s">
        <v>0</v>
      </c>
      <c r="B2" t="s">
        <v>1</v>
      </c>
      <c r="C2" t="s">
        <v>2</v>
      </c>
    </row>
    <row r="3" spans="1:6" x14ac:dyDescent="0.25">
      <c r="A3" t="s">
        <v>3</v>
      </c>
      <c r="B3">
        <v>5163</v>
      </c>
      <c r="C3">
        <v>73.42</v>
      </c>
    </row>
    <row r="4" spans="1:6" x14ac:dyDescent="0.25">
      <c r="A4" t="s">
        <v>4</v>
      </c>
      <c r="B4">
        <v>1869</v>
      </c>
      <c r="C4">
        <v>26.58</v>
      </c>
    </row>
    <row r="14" spans="1:6" x14ac:dyDescent="0.25">
      <c r="A14" s="1" t="s">
        <v>20</v>
      </c>
    </row>
    <row r="15" spans="1:6" x14ac:dyDescent="0.25">
      <c r="A15" s="2" t="s">
        <v>6</v>
      </c>
      <c r="B15" s="2" t="s">
        <v>7</v>
      </c>
      <c r="C15" s="2" t="s">
        <v>8</v>
      </c>
      <c r="D15" s="2" t="s">
        <v>1</v>
      </c>
      <c r="E15" s="2" t="s">
        <v>9</v>
      </c>
      <c r="F15" s="2" t="s">
        <v>10</v>
      </c>
    </row>
    <row r="16" spans="1:6" x14ac:dyDescent="0.25">
      <c r="A16" s="2" t="s">
        <v>11</v>
      </c>
      <c r="B16" s="2" t="s">
        <v>12</v>
      </c>
      <c r="C16" s="2" t="s">
        <v>13</v>
      </c>
      <c r="D16" s="2">
        <v>1307</v>
      </c>
      <c r="E16" s="2">
        <v>789</v>
      </c>
      <c r="F16" s="2">
        <v>60.37</v>
      </c>
    </row>
    <row r="17" spans="1:6" x14ac:dyDescent="0.25">
      <c r="A17" s="2" t="s">
        <v>11</v>
      </c>
      <c r="B17" s="2" t="s">
        <v>12</v>
      </c>
      <c r="C17" s="2" t="s">
        <v>14</v>
      </c>
      <c r="D17" s="2">
        <v>201</v>
      </c>
      <c r="E17" s="2">
        <v>102</v>
      </c>
      <c r="F17" s="2">
        <v>50.75</v>
      </c>
    </row>
    <row r="18" spans="1:6" x14ac:dyDescent="0.25">
      <c r="A18" s="2" t="s">
        <v>11</v>
      </c>
      <c r="B18" s="2" t="s">
        <v>12</v>
      </c>
      <c r="C18" s="2" t="s">
        <v>15</v>
      </c>
      <c r="D18" s="2">
        <v>327</v>
      </c>
      <c r="E18" s="2">
        <v>149</v>
      </c>
      <c r="F18" s="2">
        <v>45.57</v>
      </c>
    </row>
    <row r="19" spans="1:6" x14ac:dyDescent="0.25">
      <c r="A19" s="2" t="s">
        <v>11</v>
      </c>
      <c r="B19" s="2" t="s">
        <v>12</v>
      </c>
      <c r="C19" s="2" t="s">
        <v>16</v>
      </c>
      <c r="D19" s="2">
        <v>293</v>
      </c>
      <c r="E19" s="2">
        <v>122</v>
      </c>
      <c r="F19" s="2">
        <v>41.64</v>
      </c>
    </row>
    <row r="20" spans="1:6" x14ac:dyDescent="0.25">
      <c r="A20" s="2" t="s">
        <v>11</v>
      </c>
      <c r="B20" s="2" t="s">
        <v>17</v>
      </c>
      <c r="C20" s="2" t="s">
        <v>13</v>
      </c>
      <c r="D20" s="2">
        <v>474</v>
      </c>
      <c r="E20" s="2">
        <v>192</v>
      </c>
      <c r="F20" s="2">
        <v>40.51</v>
      </c>
    </row>
    <row r="21" spans="1:6" x14ac:dyDescent="0.25">
      <c r="A21" s="2" t="s">
        <v>11</v>
      </c>
      <c r="B21" s="2" t="s">
        <v>17</v>
      </c>
      <c r="C21" s="2" t="s">
        <v>14</v>
      </c>
      <c r="D21" s="2">
        <v>367</v>
      </c>
      <c r="E21" s="2">
        <v>113</v>
      </c>
      <c r="F21" s="2">
        <v>30.79</v>
      </c>
    </row>
    <row r="22" spans="1:6" x14ac:dyDescent="0.25">
      <c r="A22" s="2" t="s">
        <v>11</v>
      </c>
      <c r="B22" s="2" t="s">
        <v>17</v>
      </c>
      <c r="C22" s="2" t="s">
        <v>16</v>
      </c>
      <c r="D22" s="2">
        <v>185</v>
      </c>
      <c r="E22" s="2">
        <v>50</v>
      </c>
      <c r="F22" s="2">
        <v>27.03</v>
      </c>
    </row>
    <row r="23" spans="1:6" x14ac:dyDescent="0.25">
      <c r="A23" s="2" t="s">
        <v>18</v>
      </c>
      <c r="B23" s="2" t="s">
        <v>12</v>
      </c>
      <c r="C23" s="2" t="s">
        <v>13</v>
      </c>
      <c r="D23" s="2">
        <v>196</v>
      </c>
      <c r="E23" s="2">
        <v>51</v>
      </c>
      <c r="F23" s="2">
        <v>26.02</v>
      </c>
    </row>
    <row r="24" spans="1:6" x14ac:dyDescent="0.25">
      <c r="A24" s="2" t="s">
        <v>11</v>
      </c>
      <c r="B24" s="2" t="s">
        <v>3</v>
      </c>
      <c r="C24" s="2" t="s">
        <v>14</v>
      </c>
      <c r="D24" s="2">
        <v>325</v>
      </c>
      <c r="E24" s="2">
        <v>67</v>
      </c>
      <c r="F24" s="2">
        <v>20.62</v>
      </c>
    </row>
    <row r="25" spans="1:6" x14ac:dyDescent="0.25">
      <c r="A25" s="2" t="s">
        <v>11</v>
      </c>
      <c r="B25" s="2" t="s">
        <v>3</v>
      </c>
      <c r="C25" s="2" t="s">
        <v>15</v>
      </c>
      <c r="D25" s="2">
        <v>65</v>
      </c>
      <c r="E25" s="2">
        <v>13</v>
      </c>
      <c r="F25" s="2">
        <v>20</v>
      </c>
    </row>
    <row r="26" spans="1:6" x14ac:dyDescent="0.25">
      <c r="A26" s="2" t="s">
        <v>11</v>
      </c>
      <c r="B26" s="2" t="s">
        <v>17</v>
      </c>
      <c r="C26" s="2" t="s">
        <v>15</v>
      </c>
      <c r="D26" s="2">
        <v>197</v>
      </c>
      <c r="E26" s="2">
        <v>39</v>
      </c>
      <c r="F26" s="2">
        <v>19.8</v>
      </c>
    </row>
    <row r="27" spans="1:6" x14ac:dyDescent="0.25">
      <c r="A27" s="2" t="s">
        <v>18</v>
      </c>
      <c r="B27" s="2" t="s">
        <v>12</v>
      </c>
      <c r="C27" s="2" t="s">
        <v>14</v>
      </c>
      <c r="D27" s="2">
        <v>36</v>
      </c>
      <c r="E27" s="2">
        <v>7</v>
      </c>
      <c r="F27" s="2">
        <v>19.440000000000001</v>
      </c>
    </row>
    <row r="28" spans="1:6" x14ac:dyDescent="0.25">
      <c r="A28" s="2" t="s">
        <v>11</v>
      </c>
      <c r="B28" s="2" t="s">
        <v>3</v>
      </c>
      <c r="C28" s="2" t="s">
        <v>13</v>
      </c>
      <c r="D28" s="2">
        <v>69</v>
      </c>
      <c r="E28" s="2">
        <v>13</v>
      </c>
      <c r="F28" s="2">
        <v>18.84</v>
      </c>
    </row>
    <row r="29" spans="1:6" x14ac:dyDescent="0.25">
      <c r="A29" s="2" t="s">
        <v>18</v>
      </c>
      <c r="B29" s="2" t="s">
        <v>12</v>
      </c>
      <c r="C29" s="2" t="s">
        <v>16</v>
      </c>
      <c r="D29" s="2">
        <v>150</v>
      </c>
      <c r="E29" s="2">
        <v>23</v>
      </c>
      <c r="F29" s="2">
        <v>15.33</v>
      </c>
    </row>
    <row r="30" spans="1:6" x14ac:dyDescent="0.25">
      <c r="A30" s="2" t="s">
        <v>18</v>
      </c>
      <c r="B30" s="2" t="s">
        <v>12</v>
      </c>
      <c r="C30" s="2" t="s">
        <v>15</v>
      </c>
      <c r="D30" s="2">
        <v>157</v>
      </c>
      <c r="E30" s="2">
        <v>23</v>
      </c>
      <c r="F30" s="2">
        <v>14.65</v>
      </c>
    </row>
    <row r="31" spans="1:6" x14ac:dyDescent="0.25">
      <c r="A31" s="2" t="s">
        <v>18</v>
      </c>
      <c r="B31" s="2" t="s">
        <v>17</v>
      </c>
      <c r="C31" s="2" t="s">
        <v>14</v>
      </c>
      <c r="D31" s="2">
        <v>137</v>
      </c>
      <c r="E31" s="2">
        <v>14</v>
      </c>
      <c r="F31" s="2">
        <v>10.220000000000001</v>
      </c>
    </row>
    <row r="32" spans="1:6" x14ac:dyDescent="0.25">
      <c r="A32" s="2" t="s">
        <v>18</v>
      </c>
      <c r="B32" s="2" t="s">
        <v>17</v>
      </c>
      <c r="C32" s="2" t="s">
        <v>16</v>
      </c>
      <c r="D32" s="2">
        <v>172</v>
      </c>
      <c r="E32" s="2">
        <v>17</v>
      </c>
      <c r="F32" s="2">
        <v>9.8800000000000008</v>
      </c>
    </row>
    <row r="33" spans="1:6" x14ac:dyDescent="0.25">
      <c r="A33" s="2" t="s">
        <v>19</v>
      </c>
      <c r="B33" s="2" t="s">
        <v>12</v>
      </c>
      <c r="C33" s="2" t="s">
        <v>13</v>
      </c>
      <c r="D33" s="2">
        <v>92</v>
      </c>
      <c r="E33" s="2">
        <v>9</v>
      </c>
      <c r="F33" s="2">
        <v>9.7799999999999994</v>
      </c>
    </row>
    <row r="34" spans="1:6" x14ac:dyDescent="0.25">
      <c r="A34" s="2" t="s">
        <v>18</v>
      </c>
      <c r="B34" s="2" t="s">
        <v>17</v>
      </c>
      <c r="C34" s="2" t="s">
        <v>13</v>
      </c>
      <c r="D34" s="2">
        <v>116</v>
      </c>
      <c r="E34" s="2">
        <v>11</v>
      </c>
      <c r="F34" s="2">
        <v>9.48</v>
      </c>
    </row>
    <row r="35" spans="1:6" x14ac:dyDescent="0.25">
      <c r="A35" s="2" t="s">
        <v>19</v>
      </c>
      <c r="B35" s="2" t="s">
        <v>12</v>
      </c>
      <c r="C35" s="2" t="s">
        <v>15</v>
      </c>
      <c r="D35" s="2">
        <v>162</v>
      </c>
      <c r="E35" s="2">
        <v>15</v>
      </c>
      <c r="F35" s="2">
        <v>9.26</v>
      </c>
    </row>
    <row r="36" spans="1:6" x14ac:dyDescent="0.25">
      <c r="A36" s="2" t="s">
        <v>11</v>
      </c>
      <c r="B36" s="2" t="s">
        <v>3</v>
      </c>
      <c r="C36" s="2" t="s">
        <v>16</v>
      </c>
      <c r="D36" s="2">
        <v>65</v>
      </c>
      <c r="E36" s="2">
        <v>6</v>
      </c>
      <c r="F36" s="2">
        <v>9.23</v>
      </c>
    </row>
    <row r="37" spans="1:6" x14ac:dyDescent="0.25">
      <c r="A37" s="2" t="s">
        <v>18</v>
      </c>
      <c r="B37" s="2" t="s">
        <v>17</v>
      </c>
      <c r="C37" s="2" t="s">
        <v>15</v>
      </c>
      <c r="D37" s="2">
        <v>145</v>
      </c>
      <c r="E37" s="2">
        <v>11</v>
      </c>
      <c r="F37" s="2">
        <v>7.59</v>
      </c>
    </row>
    <row r="38" spans="1:6" x14ac:dyDescent="0.25">
      <c r="A38" s="2" t="s">
        <v>19</v>
      </c>
      <c r="B38" s="2" t="s">
        <v>17</v>
      </c>
      <c r="C38" s="2" t="s">
        <v>13</v>
      </c>
      <c r="D38" s="2">
        <v>58</v>
      </c>
      <c r="E38" s="2">
        <v>4</v>
      </c>
      <c r="F38" s="2">
        <v>6.9</v>
      </c>
    </row>
    <row r="39" spans="1:6" x14ac:dyDescent="0.25">
      <c r="A39" s="2" t="s">
        <v>18</v>
      </c>
      <c r="B39" s="2" t="s">
        <v>3</v>
      </c>
      <c r="C39" s="2" t="s">
        <v>13</v>
      </c>
      <c r="D39" s="2">
        <v>35</v>
      </c>
      <c r="E39" s="2">
        <v>2</v>
      </c>
      <c r="F39" s="2">
        <v>5.71</v>
      </c>
    </row>
    <row r="40" spans="1:6" x14ac:dyDescent="0.25">
      <c r="A40" s="2" t="s">
        <v>19</v>
      </c>
      <c r="B40" s="2" t="s">
        <v>12</v>
      </c>
      <c r="C40" s="2" t="s">
        <v>14</v>
      </c>
      <c r="D40" s="2">
        <v>21</v>
      </c>
      <c r="E40" s="2">
        <v>1</v>
      </c>
      <c r="F40" s="2">
        <v>4.76</v>
      </c>
    </row>
    <row r="41" spans="1:6" x14ac:dyDescent="0.25">
      <c r="A41" s="2" t="s">
        <v>18</v>
      </c>
      <c r="B41" s="2" t="s">
        <v>3</v>
      </c>
      <c r="C41" s="2" t="s">
        <v>15</v>
      </c>
      <c r="D41" s="2">
        <v>89</v>
      </c>
      <c r="E41" s="2">
        <v>4</v>
      </c>
      <c r="F41" s="2">
        <v>4.49</v>
      </c>
    </row>
    <row r="42" spans="1:6" x14ac:dyDescent="0.25">
      <c r="A42" s="2" t="s">
        <v>19</v>
      </c>
      <c r="B42" s="2" t="s">
        <v>12</v>
      </c>
      <c r="C42" s="2" t="s">
        <v>16</v>
      </c>
      <c r="D42" s="2">
        <v>154</v>
      </c>
      <c r="E42" s="2">
        <v>6</v>
      </c>
      <c r="F42" s="2">
        <v>3.9</v>
      </c>
    </row>
    <row r="43" spans="1:6" x14ac:dyDescent="0.25">
      <c r="A43" s="2" t="s">
        <v>19</v>
      </c>
      <c r="B43" s="2" t="s">
        <v>17</v>
      </c>
      <c r="C43" s="2" t="s">
        <v>16</v>
      </c>
      <c r="D43" s="2">
        <v>236</v>
      </c>
      <c r="E43" s="2">
        <v>5</v>
      </c>
      <c r="F43" s="2">
        <v>2.12</v>
      </c>
    </row>
    <row r="44" spans="1:6" x14ac:dyDescent="0.25">
      <c r="A44" s="2" t="s">
        <v>19</v>
      </c>
      <c r="B44" s="2" t="s">
        <v>17</v>
      </c>
      <c r="C44" s="2" t="s">
        <v>15</v>
      </c>
      <c r="D44" s="2">
        <v>222</v>
      </c>
      <c r="E44" s="2">
        <v>3</v>
      </c>
      <c r="F44" s="2">
        <v>1.35</v>
      </c>
    </row>
    <row r="45" spans="1:6" x14ac:dyDescent="0.25">
      <c r="A45" s="2" t="s">
        <v>18</v>
      </c>
      <c r="B45" s="2" t="s">
        <v>3</v>
      </c>
      <c r="C45" s="2" t="s">
        <v>16</v>
      </c>
      <c r="D45" s="2">
        <v>76</v>
      </c>
      <c r="E45" s="2">
        <v>1</v>
      </c>
      <c r="F45" s="2">
        <v>1.32</v>
      </c>
    </row>
    <row r="46" spans="1:6" x14ac:dyDescent="0.25">
      <c r="A46" s="2" t="s">
        <v>18</v>
      </c>
      <c r="B46" s="2" t="s">
        <v>3</v>
      </c>
      <c r="C46" s="2" t="s">
        <v>14</v>
      </c>
      <c r="D46" s="2">
        <v>163</v>
      </c>
      <c r="E46" s="2">
        <v>2</v>
      </c>
      <c r="F46" s="2">
        <v>1.23</v>
      </c>
    </row>
    <row r="47" spans="1:6" x14ac:dyDescent="0.25">
      <c r="A47" s="2" t="s">
        <v>19</v>
      </c>
      <c r="B47" s="2" t="s">
        <v>3</v>
      </c>
      <c r="C47" s="2" t="s">
        <v>16</v>
      </c>
      <c r="D47" s="2">
        <v>190</v>
      </c>
      <c r="E47" s="2">
        <v>2</v>
      </c>
      <c r="F47" s="2">
        <v>1.05</v>
      </c>
    </row>
    <row r="48" spans="1:6" x14ac:dyDescent="0.25">
      <c r="A48" s="2" t="s">
        <v>19</v>
      </c>
      <c r="B48" s="2" t="s">
        <v>3</v>
      </c>
      <c r="C48" s="2" t="s">
        <v>14</v>
      </c>
      <c r="D48" s="2">
        <v>247</v>
      </c>
      <c r="E48" s="2">
        <v>2</v>
      </c>
      <c r="F48" s="2">
        <v>0.81</v>
      </c>
    </row>
    <row r="49" spans="1:6" x14ac:dyDescent="0.25">
      <c r="A49" s="2" t="s">
        <v>19</v>
      </c>
      <c r="B49" s="2" t="s">
        <v>3</v>
      </c>
      <c r="C49" s="2" t="s">
        <v>15</v>
      </c>
      <c r="D49" s="2">
        <v>178</v>
      </c>
      <c r="E49" s="2">
        <v>1</v>
      </c>
      <c r="F49" s="2">
        <v>0.56000000000000005</v>
      </c>
    </row>
    <row r="50" spans="1:6" x14ac:dyDescent="0.25">
      <c r="A50" s="2" t="s">
        <v>19</v>
      </c>
      <c r="B50" s="2" t="s">
        <v>17</v>
      </c>
      <c r="C50" s="2" t="s">
        <v>14</v>
      </c>
      <c r="D50" s="2">
        <v>107</v>
      </c>
      <c r="E50" s="2">
        <v>0</v>
      </c>
      <c r="F50" s="2">
        <v>0</v>
      </c>
    </row>
    <row r="51" spans="1:6" x14ac:dyDescent="0.25">
      <c r="A51" s="2" t="s">
        <v>19</v>
      </c>
      <c r="B51" s="2" t="s">
        <v>3</v>
      </c>
      <c r="C51" s="2" t="s">
        <v>13</v>
      </c>
      <c r="D51" s="2">
        <v>18</v>
      </c>
      <c r="E51" s="2">
        <v>0</v>
      </c>
      <c r="F51" s="2">
        <v>0</v>
      </c>
    </row>
    <row r="53" spans="1:6" x14ac:dyDescent="0.25">
      <c r="A53" s="1" t="s">
        <v>23</v>
      </c>
    </row>
    <row r="54" spans="1:6" x14ac:dyDescent="0.25">
      <c r="A54" s="2" t="s">
        <v>6</v>
      </c>
      <c r="B54" s="2" t="s">
        <v>7</v>
      </c>
      <c r="C54" s="2" t="s">
        <v>21</v>
      </c>
      <c r="D54" s="2" t="s">
        <v>9</v>
      </c>
      <c r="E54" s="2" t="s">
        <v>22</v>
      </c>
    </row>
    <row r="55" spans="1:6" x14ac:dyDescent="0.25">
      <c r="A55" s="2" t="s">
        <v>11</v>
      </c>
      <c r="B55" s="2" t="s">
        <v>12</v>
      </c>
      <c r="C55" s="2">
        <v>100482</v>
      </c>
      <c r="D55" s="2">
        <v>1162</v>
      </c>
      <c r="E55" s="2">
        <v>86.47</v>
      </c>
    </row>
    <row r="56" spans="1:6" x14ac:dyDescent="0.25">
      <c r="A56" s="2" t="s">
        <v>11</v>
      </c>
      <c r="B56" s="2" t="s">
        <v>17</v>
      </c>
      <c r="C56" s="2">
        <v>18367.25</v>
      </c>
      <c r="D56" s="2">
        <v>394</v>
      </c>
      <c r="E56" s="2">
        <v>46.62</v>
      </c>
    </row>
    <row r="57" spans="1:6" x14ac:dyDescent="0.25">
      <c r="A57" s="2" t="s">
        <v>18</v>
      </c>
      <c r="B57" s="2" t="s">
        <v>12</v>
      </c>
      <c r="C57" s="2">
        <v>10571.95</v>
      </c>
      <c r="D57" s="2">
        <v>104</v>
      </c>
      <c r="E57" s="2">
        <v>101.65</v>
      </c>
    </row>
    <row r="58" spans="1:6" x14ac:dyDescent="0.25">
      <c r="A58" s="2" t="s">
        <v>18</v>
      </c>
      <c r="B58" s="2" t="s">
        <v>17</v>
      </c>
      <c r="C58" s="2">
        <v>3356.25</v>
      </c>
      <c r="D58" s="2">
        <v>53</v>
      </c>
      <c r="E58" s="2">
        <v>63.33</v>
      </c>
    </row>
    <row r="59" spans="1:6" x14ac:dyDescent="0.25">
      <c r="A59" s="2" t="s">
        <v>19</v>
      </c>
      <c r="B59" s="2" t="s">
        <v>12</v>
      </c>
      <c r="C59" s="2">
        <v>3246.1</v>
      </c>
      <c r="D59" s="2">
        <v>31</v>
      </c>
      <c r="E59" s="2">
        <v>104.71</v>
      </c>
    </row>
    <row r="60" spans="1:6" x14ac:dyDescent="0.25">
      <c r="A60" s="2" t="s">
        <v>11</v>
      </c>
      <c r="B60" s="2" t="s">
        <v>3</v>
      </c>
      <c r="C60" s="2">
        <v>1997.85</v>
      </c>
      <c r="D60" s="2">
        <v>99</v>
      </c>
      <c r="E60" s="2">
        <v>20.18</v>
      </c>
    </row>
    <row r="61" spans="1:6" x14ac:dyDescent="0.25">
      <c r="A61" s="2" t="s">
        <v>19</v>
      </c>
      <c r="B61" s="2" t="s">
        <v>17</v>
      </c>
      <c r="C61" s="2">
        <v>805.7</v>
      </c>
      <c r="D61" s="2">
        <v>12</v>
      </c>
      <c r="E61" s="2">
        <v>67.14</v>
      </c>
    </row>
    <row r="62" spans="1:6" x14ac:dyDescent="0.25">
      <c r="A62" s="2" t="s">
        <v>18</v>
      </c>
      <c r="B62" s="2" t="s">
        <v>3</v>
      </c>
      <c r="C62" s="2">
        <v>190.25</v>
      </c>
      <c r="D62" s="2">
        <v>9</v>
      </c>
      <c r="E62" s="2">
        <v>21.14</v>
      </c>
    </row>
    <row r="63" spans="1:6" x14ac:dyDescent="0.25">
      <c r="A63" s="2" t="s">
        <v>19</v>
      </c>
      <c r="B63" s="2" t="s">
        <v>3</v>
      </c>
      <c r="C63" s="2">
        <v>113.5</v>
      </c>
      <c r="D63" s="2">
        <v>5</v>
      </c>
      <c r="E63" s="2">
        <v>22.7</v>
      </c>
    </row>
    <row r="64" spans="1:6" x14ac:dyDescent="0.25">
      <c r="A64" s="2"/>
      <c r="B64" s="2"/>
      <c r="C64" s="2"/>
      <c r="D64" s="2"/>
      <c r="E64" s="2"/>
    </row>
    <row r="65" spans="1:5" x14ac:dyDescent="0.25">
      <c r="A65" s="2"/>
      <c r="B65" s="2"/>
      <c r="C65" s="2"/>
      <c r="D65" s="2"/>
      <c r="E65" s="2"/>
    </row>
    <row r="66" spans="1:5" x14ac:dyDescent="0.25">
      <c r="A66" s="2"/>
      <c r="B66" s="2"/>
      <c r="C66" s="2"/>
      <c r="D66" s="2"/>
      <c r="E66" s="2"/>
    </row>
    <row r="68" spans="1:5" x14ac:dyDescent="0.25">
      <c r="A68" s="1" t="s">
        <v>24</v>
      </c>
    </row>
    <row r="69" spans="1:5" x14ac:dyDescent="0.25">
      <c r="A69" s="2" t="s">
        <v>25</v>
      </c>
      <c r="B69" s="2" t="s">
        <v>1</v>
      </c>
      <c r="C69" s="2" t="s">
        <v>9</v>
      </c>
      <c r="D69" s="2" t="s">
        <v>10</v>
      </c>
    </row>
    <row r="70" spans="1:5" x14ac:dyDescent="0.25">
      <c r="A70" s="2" t="s">
        <v>3</v>
      </c>
      <c r="B70" s="2">
        <v>3497</v>
      </c>
      <c r="C70" s="2">
        <v>1461</v>
      </c>
      <c r="D70" s="2">
        <v>41.78</v>
      </c>
    </row>
    <row r="71" spans="1:5" x14ac:dyDescent="0.25">
      <c r="A71" s="2" t="s">
        <v>4</v>
      </c>
      <c r="B71" s="2">
        <v>2015</v>
      </c>
      <c r="C71" s="2">
        <v>295</v>
      </c>
      <c r="D71" s="2">
        <v>14.64</v>
      </c>
    </row>
    <row r="72" spans="1:5" x14ac:dyDescent="0.25">
      <c r="A72" s="2" t="s">
        <v>26</v>
      </c>
      <c r="B72" s="2">
        <v>1520</v>
      </c>
      <c r="C72" s="2">
        <v>113</v>
      </c>
      <c r="D72" s="2">
        <v>7.43</v>
      </c>
    </row>
    <row r="80" spans="1:5" x14ac:dyDescent="0.25">
      <c r="A80" s="2" t="s">
        <v>27</v>
      </c>
      <c r="B80" s="2" t="s">
        <v>1</v>
      </c>
      <c r="C80" s="2" t="s">
        <v>9</v>
      </c>
      <c r="D80" s="2" t="s">
        <v>10</v>
      </c>
    </row>
    <row r="81" spans="1:4" x14ac:dyDescent="0.25">
      <c r="A81" s="2" t="s">
        <v>3</v>
      </c>
      <c r="B81" s="2">
        <v>3087</v>
      </c>
      <c r="C81" s="2">
        <v>1233</v>
      </c>
      <c r="D81" s="2">
        <v>39.94</v>
      </c>
    </row>
    <row r="82" spans="1:4" x14ac:dyDescent="0.25">
      <c r="A82" s="2" t="s">
        <v>4</v>
      </c>
      <c r="B82" s="2">
        <v>2425</v>
      </c>
      <c r="C82" s="2">
        <v>523</v>
      </c>
      <c r="D82" s="2">
        <v>21.57</v>
      </c>
    </row>
    <row r="83" spans="1:4" x14ac:dyDescent="0.25">
      <c r="A83" s="2" t="s">
        <v>26</v>
      </c>
      <c r="B83" s="2">
        <v>1520</v>
      </c>
      <c r="C83" s="2">
        <v>113</v>
      </c>
      <c r="D83" s="2">
        <v>7.43</v>
      </c>
    </row>
    <row r="91" spans="1:4" x14ac:dyDescent="0.25">
      <c r="A91" s="2" t="s">
        <v>28</v>
      </c>
      <c r="B91" s="2" t="s">
        <v>1</v>
      </c>
      <c r="C91" s="2" t="s">
        <v>9</v>
      </c>
      <c r="D91" s="2" t="s">
        <v>10</v>
      </c>
    </row>
    <row r="92" spans="1:4" x14ac:dyDescent="0.25">
      <c r="A92" s="2" t="s">
        <v>3</v>
      </c>
      <c r="B92" s="2">
        <v>3094</v>
      </c>
      <c r="C92" s="2">
        <v>1211</v>
      </c>
      <c r="D92" s="2">
        <v>39.14</v>
      </c>
    </row>
    <row r="93" spans="1:4" x14ac:dyDescent="0.25">
      <c r="A93" s="2" t="s">
        <v>4</v>
      </c>
      <c r="B93" s="2">
        <v>2418</v>
      </c>
      <c r="C93" s="2">
        <v>545</v>
      </c>
      <c r="D93" s="2">
        <v>22.54</v>
      </c>
    </row>
    <row r="94" spans="1:4" x14ac:dyDescent="0.25">
      <c r="A94" s="2" t="s">
        <v>26</v>
      </c>
      <c r="B94" s="2">
        <v>1520</v>
      </c>
      <c r="C94" s="2">
        <v>113</v>
      </c>
      <c r="D94" s="2">
        <v>7.43</v>
      </c>
    </row>
    <row r="100" spans="1:4" x14ac:dyDescent="0.25">
      <c r="A100" s="2" t="s">
        <v>29</v>
      </c>
      <c r="B100" s="2" t="s">
        <v>1</v>
      </c>
      <c r="C100" s="2" t="s">
        <v>9</v>
      </c>
      <c r="D100" s="2" t="s">
        <v>10</v>
      </c>
    </row>
    <row r="101" spans="1:4" x14ac:dyDescent="0.25">
      <c r="A101" s="2" t="s">
        <v>3</v>
      </c>
      <c r="B101" s="2">
        <v>3472</v>
      </c>
      <c r="C101" s="2">
        <v>1446</v>
      </c>
      <c r="D101" s="2">
        <v>41.65</v>
      </c>
    </row>
    <row r="102" spans="1:4" x14ac:dyDescent="0.25">
      <c r="A102" s="2" t="s">
        <v>4</v>
      </c>
      <c r="B102" s="2">
        <v>2040</v>
      </c>
      <c r="C102" s="2">
        <v>310</v>
      </c>
      <c r="D102" s="2">
        <v>15.2</v>
      </c>
    </row>
    <row r="103" spans="1:4" x14ac:dyDescent="0.25">
      <c r="A103" s="2" t="s">
        <v>26</v>
      </c>
      <c r="B103" s="2">
        <v>1520</v>
      </c>
      <c r="C103" s="2">
        <v>113</v>
      </c>
      <c r="D103" s="2">
        <v>7.43</v>
      </c>
    </row>
    <row r="104" spans="1:4" x14ac:dyDescent="0.25">
      <c r="A104" s="2"/>
      <c r="B104" s="2"/>
      <c r="C104" s="2"/>
      <c r="D104" s="2"/>
    </row>
    <row r="105" spans="1:4" x14ac:dyDescent="0.25">
      <c r="A105" s="2"/>
      <c r="B105" s="2"/>
      <c r="C105" s="2"/>
      <c r="D105" s="2"/>
    </row>
    <row r="106" spans="1:4" x14ac:dyDescent="0.25">
      <c r="A106" s="2"/>
      <c r="B106" s="2"/>
      <c r="C106" s="2"/>
      <c r="D106" s="2"/>
    </row>
    <row r="107" spans="1:4" x14ac:dyDescent="0.25">
      <c r="A107" s="2"/>
      <c r="B107" s="2"/>
      <c r="C107" s="2"/>
      <c r="D107" s="2"/>
    </row>
    <row r="108" spans="1:4" x14ac:dyDescent="0.25">
      <c r="A108" s="2"/>
      <c r="B108" s="2"/>
      <c r="C108" s="2"/>
      <c r="D108" s="2"/>
    </row>
    <row r="109" spans="1:4" x14ac:dyDescent="0.25">
      <c r="A109" s="2"/>
      <c r="B109" s="2"/>
      <c r="C109" s="2"/>
      <c r="D109" s="2"/>
    </row>
    <row r="110" spans="1:4" x14ac:dyDescent="0.25">
      <c r="A110" s="2"/>
      <c r="B110" s="2"/>
      <c r="C110" s="2"/>
      <c r="D110" s="2"/>
    </row>
    <row r="111" spans="1:4" x14ac:dyDescent="0.25">
      <c r="A111" s="2" t="s">
        <v>30</v>
      </c>
      <c r="B111" s="2" t="s">
        <v>1</v>
      </c>
      <c r="C111" s="2" t="s">
        <v>9</v>
      </c>
      <c r="D111" s="2" t="s">
        <v>10</v>
      </c>
    </row>
    <row r="112" spans="1:4" x14ac:dyDescent="0.25">
      <c r="A112" s="2" t="s">
        <v>3</v>
      </c>
      <c r="B112" s="2">
        <v>2809</v>
      </c>
      <c r="C112" s="2">
        <v>942</v>
      </c>
      <c r="D112" s="2">
        <v>33.54</v>
      </c>
    </row>
    <row r="113" spans="1:4" x14ac:dyDescent="0.25">
      <c r="A113" s="2" t="s">
        <v>4</v>
      </c>
      <c r="B113" s="2">
        <v>2703</v>
      </c>
      <c r="C113" s="2">
        <v>814</v>
      </c>
      <c r="D113" s="2">
        <v>30.11</v>
      </c>
    </row>
    <row r="114" spans="1:4" x14ac:dyDescent="0.25">
      <c r="A114" s="2" t="s">
        <v>26</v>
      </c>
      <c r="B114" s="2">
        <v>1520</v>
      </c>
      <c r="C114" s="2">
        <v>113</v>
      </c>
      <c r="D114" s="2">
        <v>7.43</v>
      </c>
    </row>
    <row r="115" spans="1:4" x14ac:dyDescent="0.25">
      <c r="A115" s="2"/>
      <c r="B115" s="2"/>
      <c r="C115" s="2"/>
      <c r="D115" s="2"/>
    </row>
    <row r="116" spans="1:4" x14ac:dyDescent="0.25">
      <c r="A116" s="2"/>
      <c r="B116" s="2"/>
      <c r="C116" s="2"/>
      <c r="D116" s="2"/>
    </row>
    <row r="117" spans="1:4" x14ac:dyDescent="0.25">
      <c r="A117" s="2"/>
      <c r="B117" s="2"/>
      <c r="C117" s="2"/>
      <c r="D117" s="2"/>
    </row>
    <row r="118" spans="1:4" x14ac:dyDescent="0.25">
      <c r="A118" s="2"/>
      <c r="B118" s="2"/>
      <c r="C118" s="2"/>
      <c r="D118" s="2"/>
    </row>
    <row r="119" spans="1:4" x14ac:dyDescent="0.25">
      <c r="A119" s="2"/>
      <c r="B119" s="2"/>
      <c r="C119" s="2"/>
      <c r="D119" s="2"/>
    </row>
    <row r="120" spans="1:4" x14ac:dyDescent="0.25">
      <c r="A120" s="2"/>
      <c r="B120" s="2"/>
      <c r="C120" s="2"/>
      <c r="D120" s="2"/>
    </row>
    <row r="121" spans="1:4" x14ac:dyDescent="0.25">
      <c r="A121" s="2"/>
      <c r="B121" s="2"/>
      <c r="C121" s="2"/>
      <c r="D121" s="2"/>
    </row>
    <row r="123" spans="1:4" x14ac:dyDescent="0.25">
      <c r="A123" s="2" t="s">
        <v>31</v>
      </c>
      <c r="B123" s="2" t="s">
        <v>1</v>
      </c>
      <c r="C123" s="2" t="s">
        <v>9</v>
      </c>
      <c r="D123" s="2" t="s">
        <v>10</v>
      </c>
    </row>
    <row r="124" spans="1:4" x14ac:dyDescent="0.25">
      <c r="A124" s="2" t="s">
        <v>3</v>
      </c>
      <c r="B124" s="2">
        <v>2781</v>
      </c>
      <c r="C124" s="2">
        <v>938</v>
      </c>
      <c r="D124" s="2">
        <v>33.729999999999997</v>
      </c>
    </row>
    <row r="125" spans="1:4" x14ac:dyDescent="0.25">
      <c r="A125" s="2" t="s">
        <v>4</v>
      </c>
      <c r="B125" s="2">
        <v>2731</v>
      </c>
      <c r="C125" s="2">
        <v>818</v>
      </c>
      <c r="D125" s="2">
        <v>29.95</v>
      </c>
    </row>
    <row r="126" spans="1:4" x14ac:dyDescent="0.25">
      <c r="A126" s="2" t="s">
        <v>26</v>
      </c>
      <c r="B126" s="2">
        <v>1520</v>
      </c>
      <c r="C126" s="2">
        <v>113</v>
      </c>
      <c r="D126" s="2">
        <v>7.43</v>
      </c>
    </row>
    <row r="127" spans="1:4" x14ac:dyDescent="0.25">
      <c r="A127" s="2"/>
      <c r="B127" s="2"/>
      <c r="C127" s="2"/>
      <c r="D127" s="2"/>
    </row>
    <row r="128" spans="1:4" x14ac:dyDescent="0.25">
      <c r="A128" s="2"/>
      <c r="B128" s="2"/>
      <c r="C128" s="2"/>
      <c r="D128" s="2"/>
    </row>
    <row r="129" spans="1:4" x14ac:dyDescent="0.25">
      <c r="A129" s="2"/>
      <c r="B129" s="2"/>
      <c r="C129" s="2"/>
      <c r="D129" s="2"/>
    </row>
    <row r="130" spans="1:4" x14ac:dyDescent="0.25">
      <c r="A130" s="2"/>
      <c r="B130" s="2"/>
      <c r="C130" s="2"/>
      <c r="D130" s="2"/>
    </row>
    <row r="131" spans="1:4" x14ac:dyDescent="0.25">
      <c r="A131" s="2"/>
      <c r="B131" s="2"/>
      <c r="C131" s="2"/>
      <c r="D131" s="2"/>
    </row>
    <row r="132" spans="1:4" x14ac:dyDescent="0.25">
      <c r="A132" s="2"/>
      <c r="B132" s="2"/>
      <c r="C132" s="2"/>
      <c r="D132" s="2"/>
    </row>
    <row r="133" spans="1:4" x14ac:dyDescent="0.25">
      <c r="A133" s="2"/>
      <c r="B133" s="2"/>
      <c r="C133" s="2"/>
      <c r="D133" s="2"/>
    </row>
    <row r="135" spans="1:4" x14ac:dyDescent="0.25">
      <c r="A135" s="1" t="s">
        <v>32</v>
      </c>
    </row>
    <row r="136" spans="1:4" x14ac:dyDescent="0.25">
      <c r="A136" s="2" t="s">
        <v>49</v>
      </c>
      <c r="B136" s="2" t="s">
        <v>1</v>
      </c>
      <c r="C136" s="2" t="s">
        <v>48</v>
      </c>
      <c r="D136" s="2" t="s">
        <v>10</v>
      </c>
    </row>
    <row r="137" spans="1:4" x14ac:dyDescent="0.25">
      <c r="A137" s="2" t="s">
        <v>33</v>
      </c>
      <c r="B137" s="2">
        <v>2175</v>
      </c>
      <c r="C137" s="2">
        <v>1037</v>
      </c>
      <c r="D137" s="2">
        <v>47.68</v>
      </c>
    </row>
    <row r="138" spans="1:4" x14ac:dyDescent="0.25">
      <c r="A138" s="2" t="s">
        <v>34</v>
      </c>
      <c r="B138" s="2">
        <v>1024</v>
      </c>
      <c r="C138" s="2">
        <v>294</v>
      </c>
      <c r="D138" s="2">
        <v>28.71</v>
      </c>
    </row>
    <row r="139" spans="1:4" x14ac:dyDescent="0.25">
      <c r="A139" s="2" t="s">
        <v>35</v>
      </c>
      <c r="B139" s="2">
        <v>1594</v>
      </c>
      <c r="C139" s="2">
        <v>325</v>
      </c>
      <c r="D139" s="2">
        <v>20.39</v>
      </c>
    </row>
    <row r="140" spans="1:4" x14ac:dyDescent="0.25">
      <c r="A140" s="2" t="s">
        <v>36</v>
      </c>
      <c r="B140" s="2">
        <v>2239</v>
      </c>
      <c r="C140" s="2">
        <v>213</v>
      </c>
      <c r="D140" s="2">
        <v>9.51</v>
      </c>
    </row>
    <row r="141" spans="1:4" x14ac:dyDescent="0.25">
      <c r="A141" s="2"/>
      <c r="B141" s="2"/>
      <c r="C141" s="2"/>
      <c r="D141" s="2"/>
    </row>
    <row r="142" spans="1:4" x14ac:dyDescent="0.25">
      <c r="A142" s="2"/>
      <c r="B142" s="2"/>
      <c r="C142" s="2"/>
      <c r="D142" s="2"/>
    </row>
    <row r="143" spans="1:4" x14ac:dyDescent="0.25">
      <c r="A143" s="2"/>
      <c r="B143" s="2"/>
      <c r="C143" s="2"/>
      <c r="D143" s="2"/>
    </row>
    <row r="144" spans="1:4" x14ac:dyDescent="0.25">
      <c r="A144" s="2"/>
      <c r="B144" s="2"/>
      <c r="C144" s="2"/>
      <c r="D144" s="2"/>
    </row>
    <row r="145" spans="1:4" x14ac:dyDescent="0.25">
      <c r="A145" s="2"/>
      <c r="B145" s="2"/>
      <c r="C145" s="2"/>
      <c r="D145" s="2"/>
    </row>
    <row r="146" spans="1:4" x14ac:dyDescent="0.25">
      <c r="A146" s="2"/>
      <c r="B146" s="2"/>
      <c r="C146" s="2"/>
      <c r="D146" s="2"/>
    </row>
    <row r="147" spans="1:4" x14ac:dyDescent="0.25">
      <c r="A147" s="2"/>
      <c r="B147" s="2"/>
      <c r="C147" s="2"/>
      <c r="D147" s="2"/>
    </row>
    <row r="148" spans="1:4" x14ac:dyDescent="0.25">
      <c r="A148" s="2"/>
      <c r="B148" s="2"/>
      <c r="C148" s="2"/>
      <c r="D148" s="2"/>
    </row>
    <row r="149" spans="1:4" x14ac:dyDescent="0.25">
      <c r="A149" s="2"/>
      <c r="B149" s="2"/>
      <c r="C149" s="2"/>
      <c r="D149" s="2"/>
    </row>
    <row r="150" spans="1:4" x14ac:dyDescent="0.25">
      <c r="A150" s="2"/>
      <c r="B150" s="2"/>
      <c r="C150" s="2"/>
      <c r="D150" s="2"/>
    </row>
    <row r="151" spans="1:4" x14ac:dyDescent="0.25">
      <c r="A151" s="2"/>
      <c r="B151" s="2"/>
      <c r="C151" s="2"/>
      <c r="D151" s="2"/>
    </row>
    <row r="152" spans="1:4" x14ac:dyDescent="0.25">
      <c r="A152" s="2"/>
      <c r="B152" s="2"/>
      <c r="C152" s="2"/>
      <c r="D152" s="2"/>
    </row>
    <row r="154" spans="1:4" x14ac:dyDescent="0.25">
      <c r="A154" s="1" t="s">
        <v>45</v>
      </c>
    </row>
    <row r="155" spans="1:4" x14ac:dyDescent="0.25">
      <c r="A155" s="2" t="s">
        <v>37</v>
      </c>
      <c r="B155" s="2" t="s">
        <v>38</v>
      </c>
      <c r="C155" s="2" t="s">
        <v>39</v>
      </c>
      <c r="D155" s="2" t="s">
        <v>10</v>
      </c>
    </row>
    <row r="156" spans="1:4" x14ac:dyDescent="0.25">
      <c r="A156" s="2" t="s">
        <v>42</v>
      </c>
      <c r="B156" s="2">
        <v>752</v>
      </c>
      <c r="C156" s="2">
        <v>110</v>
      </c>
      <c r="D156" s="2">
        <v>14.63</v>
      </c>
    </row>
    <row r="157" spans="1:4" x14ac:dyDescent="0.25">
      <c r="A157" s="2" t="s">
        <v>40</v>
      </c>
      <c r="B157" s="2">
        <v>5714</v>
      </c>
      <c r="C157" s="2">
        <v>1281</v>
      </c>
      <c r="D157" s="2">
        <v>22.42</v>
      </c>
    </row>
    <row r="158" spans="1:4" x14ac:dyDescent="0.25">
      <c r="A158" s="2" t="s">
        <v>41</v>
      </c>
      <c r="B158" s="2">
        <v>440</v>
      </c>
      <c r="C158" s="2">
        <v>354</v>
      </c>
      <c r="D158" s="2">
        <v>80.45</v>
      </c>
    </row>
    <row r="159" spans="1:4" x14ac:dyDescent="0.25">
      <c r="A159" s="2" t="s">
        <v>44</v>
      </c>
      <c r="B159" s="2">
        <v>19</v>
      </c>
      <c r="C159" s="2">
        <v>17</v>
      </c>
      <c r="D159" s="2">
        <v>89.47</v>
      </c>
    </row>
    <row r="160" spans="1:4" x14ac:dyDescent="0.25">
      <c r="A160" s="2" t="s">
        <v>43</v>
      </c>
      <c r="B160" s="2">
        <v>107</v>
      </c>
      <c r="C160" s="2">
        <v>107</v>
      </c>
      <c r="D160" s="2">
        <v>100</v>
      </c>
    </row>
  </sheetData>
  <sortState xmlns:xlrd2="http://schemas.microsoft.com/office/spreadsheetml/2017/richdata2" ref="A137:D140">
    <sortCondition descending="1" ref="D136:D14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TURAB ALI ZAIDI</dc:creator>
  <cp:lastModifiedBy>SYED TURAB ALI ZAIDI</cp:lastModifiedBy>
  <dcterms:created xsi:type="dcterms:W3CDTF">2025-11-16T09:21:50Z</dcterms:created>
  <dcterms:modified xsi:type="dcterms:W3CDTF">2025-11-27T18:25:57Z</dcterms:modified>
</cp:coreProperties>
</file>